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 Card" sheetId="1" state="visible" r:id="rId3"/>
    <sheet name="Cost Model" sheetId="2" state="visible" r:id="rId4"/>
    <sheet name="Scenarios" sheetId="3" state="visible" r:id="rId5"/>
    <sheet name="SLA Tradeoff" sheetId="4" state="visible" r:id="rId6"/>
    <sheet name="Hidden-Cost Checklist" sheetId="5" state="visible" r:id="rId7"/>
    <sheet name="Cloud Comput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<sst xmlns="http://schemas.openxmlformats.org/spreadsheetml/2006/main" count="131" uniqueCount="115">
  <si>
    <t xml:space="preserve">Module 8 — Cost Model  ·  Rate Card</t>
  </si>
  <si>
    <t xml:space="preserve">Edit the BLUE cells. Rates are illustrative (~Premium, 2025) and CHANGE — verify against the Databricks pricing page and your cloud bill.</t>
  </si>
  <si>
    <t xml:space="preserve">Databricks DBU rates ($ per DBU-hour)</t>
  </si>
  <si>
    <t xml:space="preserve">All-purpose compute</t>
  </si>
  <si>
    <t xml:space="preserve">interactive; ~2x jobs</t>
  </si>
  <si>
    <t xml:space="preserve">Job compute</t>
  </si>
  <si>
    <t xml:space="preserve">automated runs — the default</t>
  </si>
  <si>
    <t xml:space="preserve">Serverless (blended)</t>
  </si>
  <si>
    <t xml:space="preserve">folds VM in; no separate VM bill</t>
  </si>
  <si>
    <t xml:space="preserve">Jobs light</t>
  </si>
  <si>
    <t xml:space="preserve">simple jobs</t>
  </si>
  <si>
    <t xml:space="preserve">Serverless SQL</t>
  </si>
  <si>
    <t xml:space="preserve">BI queries</t>
  </si>
  <si>
    <t xml:space="preserve">Cloud compute &amp; commitments</t>
  </si>
  <si>
    <t xml:space="preserve">VM $ per node-hour (on-demand)</t>
  </si>
  <si>
    <t xml:space="preserve">e.g. m5.large-class node</t>
  </si>
  <si>
    <t xml:space="preserve">DBUs per node-hour</t>
  </si>
  <si>
    <t xml:space="preserve">instance-dependent</t>
  </si>
  <si>
    <t xml:space="preserve">Spot discount (off VM price)</t>
  </si>
  <si>
    <t xml:space="preserve">up to ~90%; fault-tolerant only</t>
  </si>
  <si>
    <t xml:space="preserve">Reserved discount (off VM price)</t>
  </si>
  <si>
    <t xml:space="preserve">1–3 yr commitment</t>
  </si>
  <si>
    <t xml:space="preserve">Storage ($/GB-month) &amp; network</t>
  </si>
  <si>
    <t xml:space="preserve">Storage — hot</t>
  </si>
  <si>
    <t xml:space="preserve">Storage — cool</t>
  </si>
  <si>
    <t xml:space="preserve">Storage — archive</t>
  </si>
  <si>
    <t xml:space="preserve">~23x cheaper than hot</t>
  </si>
  <si>
    <t xml:space="preserve">Egress $ per GB</t>
  </si>
  <si>
    <t xml:space="preserve">data OUT to internet; first ~100GB free</t>
  </si>
  <si>
    <t xml:space="preserve">Cost Model  ·  one workload → monthly TCO</t>
  </si>
  <si>
    <t xml:space="preserve">Edit BLUE inputs. GREEN cells link to the Rate Card. Black cells are computed.</t>
  </si>
  <si>
    <t xml:space="preserve">Workload inputs</t>
  </si>
  <si>
    <t xml:space="preserve">Runtime per run (minutes)</t>
  </si>
  <si>
    <t xml:space="preserve">Nodes</t>
  </si>
  <si>
    <t xml:space="preserve">Runs per month</t>
  </si>
  <si>
    <t xml:space="preserve">e.g. 30 for nightly</t>
  </si>
  <si>
    <t xml:space="preserve">DBU rate ($/DBU-hr)</t>
  </si>
  <si>
    <t xml:space="preserve">links Rate Card (default = Job compute; point to another family to compare)</t>
  </si>
  <si>
    <t xml:space="preserve">Purchase (1=on-demand, 2=spot, 3=reserved)</t>
  </si>
  <si>
    <t xml:space="preserve">Compute</t>
  </si>
  <si>
    <t xml:space="preserve">Runtime (hours)</t>
  </si>
  <si>
    <t xml:space="preserve">VM $/node-hr (after purchase option)</t>
  </si>
  <si>
    <t xml:space="preserve">Databricks DBU cost / run</t>
  </si>
  <si>
    <t xml:space="preserve">Cloud VM cost / run</t>
  </si>
  <si>
    <t xml:space="preserve">Total / run</t>
  </si>
  <si>
    <t xml:space="preserve">Compute / month</t>
  </si>
  <si>
    <t xml:space="preserve">Storage</t>
  </si>
  <si>
    <t xml:space="preserve">Storage — hot (GB)</t>
  </si>
  <si>
    <t xml:space="preserve">Storage — cool (GB)</t>
  </si>
  <si>
    <t xml:space="preserve">Storage — archive (GB)</t>
  </si>
  <si>
    <t xml:space="preserve">Storage / month</t>
  </si>
  <si>
    <t xml:space="preserve">Network &amp; other</t>
  </si>
  <si>
    <t xml:space="preserve">Egress (GB / month)</t>
  </si>
  <si>
    <t xml:space="preserve">Egress / month</t>
  </si>
  <si>
    <t xml:space="preserve">Other / month (managed premium, logging, …)</t>
  </si>
  <si>
    <t xml:space="preserve">TOTAL MONTHLY COST</t>
  </si>
  <si>
    <t xml:space="preserve">TOTAL ANNUAL COST</t>
  </si>
  <si>
    <t xml:space="preserve">Scenarios  ·  same workload, priced four ways</t>
  </si>
  <si>
    <t xml:space="preserve">Uses the runtime / nodes / runs from the Cost Model sheet. Lowest monthly wins (subject to the SLA + spot risk).</t>
  </si>
  <si>
    <t xml:space="preserve">Scenario</t>
  </si>
  <si>
    <t xml:space="preserve">DBU rate</t>
  </si>
  <si>
    <t xml:space="preserve">VM factor</t>
  </si>
  <si>
    <t xml:space="preserve">Per month</t>
  </si>
  <si>
    <t xml:space="preserve">Job compute — on-demand</t>
  </si>
  <si>
    <t xml:space="preserve">1</t>
  </si>
  <si>
    <t xml:space="preserve">Job compute — spot</t>
  </si>
  <si>
    <t xml:space="preserve">Serverless (no VM bill)</t>
  </si>
  <si>
    <t xml:space="preserve">0</t>
  </si>
  <si>
    <t xml:space="preserve">All-purpose — on-demand</t>
  </si>
  <si>
    <t xml:space="preserve">Cheapest / month</t>
  </si>
  <si>
    <t xml:space="preserve">Cost vs SLA  ·  cheapest config that meets the deadline</t>
  </si>
  <si>
    <t xml:space="preserve">More nodes finish faster. Under ideal scaling, TOTAL cost is ~flat (same node-hours) — pick the cheapest that MEETS the SLA.</t>
  </si>
  <si>
    <t xml:space="preserve">Total work (node-hours)</t>
  </si>
  <si>
    <t xml:space="preserve">from a benchmark</t>
  </si>
  <si>
    <t xml:space="preserve">Deadline (minutes)</t>
  </si>
  <si>
    <t xml:space="preserve">the SLA</t>
  </si>
  <si>
    <t xml:space="preserve">VM factor (1=on-demand)</t>
  </si>
  <si>
    <t xml:space="preserve">Runtime (min)</t>
  </si>
  <si>
    <t xml:space="preserve">Meets SLA?</t>
  </si>
  <si>
    <t xml:space="preserve">Hidden-Cost Checklist  ·  tick before you present</t>
  </si>
  <si>
    <t xml:space="preserve">Check each before finalizing your cost model — these are where real bills hide.</t>
  </si>
  <si>
    <t xml:space="preserve">✓</t>
  </si>
  <si>
    <t xml:space="preserve">Check</t>
  </si>
  <si>
    <t xml:space="preserve">Your note</t>
  </si>
  <si>
    <t xml:space="preserve">☐</t>
  </si>
  <si>
    <t xml:space="preserve">Scheduled work moved OFF all-purpose to job/serverless clusters</t>
  </si>
  <si>
    <t xml:space="preserve">Auto-termination set on every cluster</t>
  </si>
  <si>
    <t xml:space="preserve">Spot used only for fault-tolerant, checkpointed work (and the SLA risk accepted)</t>
  </si>
  <si>
    <t xml:space="preserve">Reserved/savings only for the predictable baseline (not bursty load)</t>
  </si>
  <si>
    <t xml:space="preserve">Storage lifecycle: old data tiered to cool/archive; Delta VACUUM with retention</t>
  </si>
  <si>
    <t xml:space="preserve">Small files compacted (OPTIMIZE); columnar + compression (Parquet/Delta)</t>
  </si>
  <si>
    <t xml:space="preserve">Egress checked: no needless cross-region / cross-cloud copies; export aggregates</t>
  </si>
  <si>
    <t xml:space="preserve">Right-sized from a benchmark, not a guess; autoscale floor = steady load</t>
  </si>
  <si>
    <t xml:space="preserve">Retry storms &amp; runaway backfills bounded</t>
  </si>
  <si>
    <t xml:space="preserve">Everything tagged (team / pipeline / env) so cost can be attributed</t>
  </si>
  <si>
    <t xml:space="preserve">Budget + anomaly alert set on spend (Module 6)</t>
  </si>
  <si>
    <t xml:space="preserve">Cost-vs-SLA tradeoff stated explicitly with the rejected options</t>
  </si>
  <si>
    <t xml:space="preserve">Cloud Compute  ·  the VM half — compare Azure / GCP / AWS</t>
  </si>
  <si>
    <t xml:space="preserve">Databricks runs on cloud VMs. Pick your cloud's rate and paste it into the Rate Card (VM $/node-hour). Illustrative ~2025, 4 vCPU/16 GB, on-demand region; verify.</t>
  </si>
  <si>
    <t xml:space="preserve">Cloud</t>
  </si>
  <si>
    <t xml:space="preserve">Instance</t>
  </si>
  <si>
    <t xml:space="preserve">On-demand $/hr</t>
  </si>
  <si>
    <t xml:space="preserve">Spot $/hr</t>
  </si>
  <si>
    <t xml:space="preserve">Reserved/CUD $/hr</t>
  </si>
  <si>
    <t xml:space="preserve">Discount notes</t>
  </si>
  <si>
    <t xml:space="preserve">Azure</t>
  </si>
  <si>
    <t xml:space="preserve">D4s_v5</t>
  </si>
  <si>
    <t xml:space="preserve">Spot ~-90% · RI ~-72% · Savings Plan ~-65% · no auto SUD</t>
  </si>
  <si>
    <t xml:space="preserve">Google Cloud</t>
  </si>
  <si>
    <t xml:space="preserve">e2-standard-4</t>
  </si>
  <si>
    <t xml:space="preserve">Spot ~-91% · CUD ~-55/70% · auto Sustained-Use ~-30%</t>
  </si>
  <si>
    <t xml:space="preserve">AWS</t>
  </si>
  <si>
    <t xml:space="preserve">m5.xlarge</t>
  </si>
  <si>
    <t xml:space="preserve">Spot ~-90% · RI ~-72% · Savings Plans</t>
  </si>
  <si>
    <t xml:space="preserve">Same 4 vCPU / 16 GB spec — GCP ~30% cheaper on-demand here. Always compare like-for-like (vCPU/RAM, region, term).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</si>
</sst>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%"/>
    <numFmt numFmtId="167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46"/>
  </cols>
  <sheetData>
    <row r="1" customFormat="false" ht="24" hidden="false" customHeight="true" outlineLevel="0" collapsed="false">
      <c r="A1" s="1" t="s">
        <v>0</v>
      </c>
      <c r="B1" s="2"/>
      <c r="C1" s="2"/>
    </row>
    <row r="2" customFormat="false" ht="30" hidden="false" customHeight="true" outlineLevel="0" collapsed="false">
      <c r="A2" s="3" t="s">
        <v>1</v>
      </c>
      <c r="B2" s="3"/>
      <c r="C2" s="3"/>
    </row>
    <row r="4" customFormat="false" ht="15" hidden="false" customHeight="false" outlineLevel="0" collapsed="false">
      <c r="A4" s="4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0.55</v>
      </c>
      <c r="C5" s="7" t="s">
        <v>4</v>
      </c>
    </row>
    <row r="6" customFormat="false" ht="15" hidden="false" customHeight="false" outlineLevel="0" collapsed="false">
      <c r="A6" s="5" t="s">
        <v>5</v>
      </c>
      <c r="B6" s="6" t="n">
        <v>0.3</v>
      </c>
      <c r="C6" s="7" t="s">
        <v>6</v>
      </c>
    </row>
    <row r="7" customFormat="false" ht="15" hidden="false" customHeight="false" outlineLevel="0" collapsed="false">
      <c r="A7" s="5" t="s">
        <v>7</v>
      </c>
      <c r="B7" s="6" t="n">
        <v>0.35</v>
      </c>
      <c r="C7" s="7" t="s">
        <v>8</v>
      </c>
    </row>
    <row r="8" customFormat="false" ht="15" hidden="false" customHeight="false" outlineLevel="0" collapsed="false">
      <c r="A8" s="5" t="s">
        <v>9</v>
      </c>
      <c r="B8" s="6" t="n">
        <v>0.22</v>
      </c>
      <c r="C8" s="7" t="s">
        <v>10</v>
      </c>
    </row>
    <row r="9" customFormat="false" ht="15" hidden="false" customHeight="false" outlineLevel="0" collapsed="false">
      <c r="A9" s="5" t="s">
        <v>11</v>
      </c>
      <c r="B9" s="6" t="n">
        <v>0.7</v>
      </c>
      <c r="C9" s="7" t="s">
        <v>12</v>
      </c>
    </row>
    <row r="11" customFormat="false" ht="15" hidden="false" customHeight="false" outlineLevel="0" collapsed="false">
      <c r="A11" s="4" t="s">
        <v>13</v>
      </c>
      <c r="B11" s="4"/>
      <c r="C11" s="4"/>
    </row>
    <row r="12" customFormat="false" ht="15" hidden="false" customHeight="false" outlineLevel="0" collapsed="false">
      <c r="A12" s="5" t="s">
        <v>14</v>
      </c>
      <c r="B12" s="6" t="n">
        <v>0.096</v>
      </c>
      <c r="C12" s="7" t="s">
        <v>15</v>
      </c>
    </row>
    <row r="13" customFormat="false" ht="15" hidden="false" customHeight="false" outlineLevel="0" collapsed="false">
      <c r="A13" s="5" t="s">
        <v>16</v>
      </c>
      <c r="B13" s="6" t="n">
        <v>1</v>
      </c>
      <c r="C13" s="7" t="s">
        <v>17</v>
      </c>
    </row>
    <row r="14" customFormat="false" ht="15" hidden="false" customHeight="false" outlineLevel="0" collapsed="false">
      <c r="A14" s="5" t="s">
        <v>18</v>
      </c>
      <c r="B14" s="8" t="n">
        <v>0.7</v>
      </c>
      <c r="C14" s="7" t="s">
        <v>19</v>
      </c>
    </row>
    <row r="15" customFormat="false" ht="15" hidden="false" customHeight="false" outlineLevel="0" collapsed="false">
      <c r="A15" s="5" t="s">
        <v>20</v>
      </c>
      <c r="B15" s="8" t="n">
        <v>0.4</v>
      </c>
      <c r="C15" s="7" t="s">
        <v>21</v>
      </c>
    </row>
    <row r="17" customFormat="false" ht="15" hidden="false" customHeight="false" outlineLevel="0" collapsed="false">
      <c r="A17" s="4" t="s">
        <v>22</v>
      </c>
      <c r="B17" s="4"/>
      <c r="C17" s="4"/>
    </row>
    <row r="18" customFormat="false" ht="15" hidden="false" customHeight="false" outlineLevel="0" collapsed="false">
      <c r="A18" s="5" t="s">
        <v>23</v>
      </c>
      <c r="B18" s="6" t="n">
        <v>0.023</v>
      </c>
      <c r="C18" s="7"/>
    </row>
    <row r="19" customFormat="false" ht="15" hidden="false" customHeight="false" outlineLevel="0" collapsed="false">
      <c r="A19" s="5" t="s">
        <v>24</v>
      </c>
      <c r="B19" s="6" t="n">
        <v>0.013</v>
      </c>
      <c r="C19" s="7"/>
    </row>
    <row r="20" customFormat="false" ht="15" hidden="false" customHeight="false" outlineLevel="0" collapsed="false">
      <c r="A20" s="5" t="s">
        <v>25</v>
      </c>
      <c r="B20" s="6" t="n">
        <v>0.001</v>
      </c>
      <c r="C20" s="7" t="s">
        <v>26</v>
      </c>
    </row>
    <row r="21" customFormat="false" ht="15" hidden="false" customHeight="false" outlineLevel="0" collapsed="false">
      <c r="A21" s="5" t="s">
        <v>27</v>
      </c>
      <c r="B21" s="6" t="n">
        <v>0.09</v>
      </c>
      <c r="C21" s="7" t="s">
        <v>28</v>
      </c>
    </row>
  </sheetData>
  <mergeCells count="4">
    <mergeCell ref="A2:C2"/>
    <mergeCell ref="A4:C4"/>
    <mergeCell ref="A11:C11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24" hidden="false" customHeight="true" outlineLevel="0" collapsed="false">
      <c r="A1" s="1" t="s">
        <v>29</v>
      </c>
      <c r="B1" s="2"/>
      <c r="C1" s="2"/>
    </row>
    <row r="2" customFormat="false" ht="15" hidden="false" customHeight="false" outlineLevel="0" collapsed="false">
      <c r="A2" s="9" t="s">
        <v>30</v>
      </c>
      <c r="B2" s="9"/>
      <c r="C2" s="9"/>
    </row>
    <row r="4" customFormat="false" ht="15" hidden="false" customHeight="false" outlineLevel="0" collapsed="false">
      <c r="A4" s="4" t="s">
        <v>31</v>
      </c>
      <c r="B4" s="4"/>
      <c r="C4" s="4"/>
    </row>
    <row r="5" customFormat="false" ht="15" hidden="false" customHeight="false" outlineLevel="0" collapsed="false">
      <c r="A5" s="5" t="s">
        <v>32</v>
      </c>
      <c r="B5" s="10" t="n">
        <v>40</v>
      </c>
    </row>
    <row r="6" customFormat="false" ht="15" hidden="false" customHeight="false" outlineLevel="0" collapsed="false">
      <c r="A6" s="5" t="s">
        <v>33</v>
      </c>
      <c r="B6" s="10" t="n">
        <v>8</v>
      </c>
    </row>
    <row r="7" customFormat="false" ht="15" hidden="false" customHeight="false" outlineLevel="0" collapsed="false">
      <c r="A7" s="5" t="s">
        <v>34</v>
      </c>
      <c r="B7" s="10" t="n">
        <v>30</v>
      </c>
      <c r="C7" s="7" t="s">
        <v>35</v>
      </c>
    </row>
    <row r="8" customFormat="false" ht="15" hidden="false" customHeight="false" outlineLevel="0" collapsed="false">
      <c r="A8" s="5" t="s">
        <v>36</v>
      </c>
      <c r="B8" s="11" t="n">
        <f aca="false">'Rate Card'!B6</f>
        <v>0.3</v>
      </c>
      <c r="C8" s="7" t="s">
        <v>37</v>
      </c>
    </row>
    <row r="9" customFormat="false" ht="15" hidden="false" customHeight="false" outlineLevel="0" collapsed="false">
      <c r="A9" s="5" t="s">
        <v>38</v>
      </c>
      <c r="B9" s="10" t="n">
        <v>1</v>
      </c>
    </row>
    <row r="11" customFormat="false" ht="15" hidden="false" customHeight="false" outlineLevel="0" collapsed="false">
      <c r="A11" s="4" t="s">
        <v>39</v>
      </c>
      <c r="B11" s="4"/>
      <c r="C11" s="4"/>
    </row>
    <row r="12" customFormat="false" ht="15" hidden="false" customHeight="false" outlineLevel="0" collapsed="false">
      <c r="A12" s="5" t="s">
        <v>40</v>
      </c>
      <c r="B12" s="12" t="n">
        <f aca="false">B5/60</f>
        <v>0.666666666666667</v>
      </c>
    </row>
    <row r="13" customFormat="false" ht="15" hidden="false" customHeight="false" outlineLevel="0" collapsed="false">
      <c r="A13" s="5" t="s">
        <v>41</v>
      </c>
      <c r="B13" s="12" t="n">
        <f aca="false">'Rate Card'!B12*IF(B9=2,1-'Rate Card'!B14,IF(B9=3,1-'Rate Card'!B15,1))</f>
        <v>0.096</v>
      </c>
    </row>
    <row r="14" customFormat="false" ht="15" hidden="false" customHeight="false" outlineLevel="0" collapsed="false">
      <c r="A14" s="5" t="s">
        <v>42</v>
      </c>
      <c r="B14" s="12" t="n">
        <f aca="false">B6*'Rate Card'!B13*B8*B12</f>
        <v>1.6</v>
      </c>
    </row>
    <row r="15" customFormat="false" ht="15" hidden="false" customHeight="false" outlineLevel="0" collapsed="false">
      <c r="A15" s="5" t="s">
        <v>43</v>
      </c>
      <c r="B15" s="12" t="n">
        <f aca="false">B6*B13*B12</f>
        <v>0.512</v>
      </c>
    </row>
    <row r="16" customFormat="false" ht="15" hidden="false" customHeight="false" outlineLevel="0" collapsed="false">
      <c r="A16" s="13" t="s">
        <v>44</v>
      </c>
      <c r="B16" s="14" t="n">
        <f aca="false">B14+B15</f>
        <v>2.112</v>
      </c>
    </row>
    <row r="17" customFormat="false" ht="15" hidden="false" customHeight="false" outlineLevel="0" collapsed="false">
      <c r="A17" s="13" t="s">
        <v>45</v>
      </c>
      <c r="B17" s="15" t="n">
        <f aca="false">B16*B7</f>
        <v>63.36</v>
      </c>
    </row>
    <row r="19" customFormat="false" ht="15" hidden="false" customHeight="false" outlineLevel="0" collapsed="false">
      <c r="A19" s="4" t="s">
        <v>46</v>
      </c>
      <c r="B19" s="4"/>
      <c r="C19" s="4"/>
    </row>
    <row r="20" customFormat="false" ht="15" hidden="false" customHeight="false" outlineLevel="0" collapsed="false">
      <c r="A20" s="5" t="s">
        <v>47</v>
      </c>
      <c r="B20" s="10" t="n">
        <v>50000</v>
      </c>
    </row>
    <row r="21" customFormat="false" ht="15" hidden="false" customHeight="false" outlineLevel="0" collapsed="false">
      <c r="A21" s="5" t="s">
        <v>48</v>
      </c>
      <c r="B21" s="10" t="n">
        <v>0</v>
      </c>
    </row>
    <row r="22" customFormat="false" ht="15" hidden="false" customHeight="false" outlineLevel="0" collapsed="false">
      <c r="A22" s="5" t="s">
        <v>49</v>
      </c>
      <c r="B22" s="10" t="n">
        <v>0</v>
      </c>
    </row>
    <row r="23" customFormat="false" ht="15" hidden="false" customHeight="false" outlineLevel="0" collapsed="false">
      <c r="A23" s="5" t="s">
        <v>50</v>
      </c>
      <c r="B23" s="16" t="n">
        <f aca="false">B20*'Rate Card'!B18+B21*'Rate Card'!B19+B22*'Rate Card'!B20</f>
        <v>1150</v>
      </c>
    </row>
    <row r="25" customFormat="false" ht="15" hidden="false" customHeight="false" outlineLevel="0" collapsed="false">
      <c r="A25" s="4" t="s">
        <v>51</v>
      </c>
      <c r="B25" s="4"/>
      <c r="C25" s="4"/>
    </row>
    <row r="26" customFormat="false" ht="15" hidden="false" customHeight="false" outlineLevel="0" collapsed="false">
      <c r="A26" s="5" t="s">
        <v>52</v>
      </c>
      <c r="B26" s="10" t="n">
        <v>2000</v>
      </c>
    </row>
    <row r="27" customFormat="false" ht="15" hidden="false" customHeight="false" outlineLevel="0" collapsed="false">
      <c r="A27" s="5" t="s">
        <v>53</v>
      </c>
      <c r="B27" s="16" t="n">
        <f aca="false">B26*'Rate Card'!B21</f>
        <v>180</v>
      </c>
    </row>
    <row r="28" customFormat="false" ht="15" hidden="false" customHeight="false" outlineLevel="0" collapsed="false">
      <c r="A28" s="5" t="s">
        <v>54</v>
      </c>
      <c r="B28" s="17" t="n">
        <v>0</v>
      </c>
    </row>
    <row r="30" customFormat="false" ht="15" hidden="false" customHeight="false" outlineLevel="0" collapsed="false">
      <c r="A30" s="18" t="s">
        <v>55</v>
      </c>
      <c r="B30" s="19" t="n">
        <f aca="false">B17+B23+B27+B28</f>
        <v>1393.36</v>
      </c>
    </row>
    <row r="31" customFormat="false" ht="15" hidden="false" customHeight="false" outlineLevel="0" collapsed="false">
      <c r="A31" s="13" t="s">
        <v>56</v>
      </c>
      <c r="B31" s="15" t="n">
        <f aca="false">B30*12</f>
        <v>16720.32</v>
      </c>
    </row>
  </sheetData>
  <mergeCells count="5">
    <mergeCell ref="A2:C2"/>
    <mergeCell ref="A4:C4"/>
    <mergeCell ref="A11:C11"/>
    <mergeCell ref="A19:C19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6"/>
  </cols>
  <sheetData>
    <row r="1" customFormat="false" ht="24" hidden="false" customHeight="true" outlineLevel="0" collapsed="false">
      <c r="A1" s="1" t="s">
        <v>57</v>
      </c>
      <c r="B1" s="2"/>
      <c r="C1" s="2"/>
      <c r="D1" s="2"/>
      <c r="E1" s="2"/>
    </row>
    <row r="2" customFormat="false" ht="15" hidden="false" customHeight="false" outlineLevel="0" collapsed="false">
      <c r="A2" s="9" t="s">
        <v>58</v>
      </c>
      <c r="B2" s="9"/>
      <c r="C2" s="9"/>
      <c r="D2" s="9"/>
      <c r="E2" s="9"/>
    </row>
    <row r="4" customFormat="false" ht="15" hidden="false" customHeight="false" outlineLevel="0" collapsed="false">
      <c r="A4" s="20" t="s">
        <v>59</v>
      </c>
      <c r="B4" s="20" t="s">
        <v>60</v>
      </c>
      <c r="C4" s="20" t="s">
        <v>61</v>
      </c>
      <c r="D4" s="20" t="s">
        <v>44</v>
      </c>
      <c r="E4" s="20" t="s">
        <v>62</v>
      </c>
    </row>
    <row r="5" customFormat="false" ht="15" hidden="false" customHeight="false" outlineLevel="0" collapsed="false">
      <c r="A5" s="5" t="s">
        <v>63</v>
      </c>
      <c r="B5" s="11" t="n">
        <f aca="false">'Rate Card'!B6</f>
        <v>0.3</v>
      </c>
      <c r="C5" s="12" t="s">
        <v>64</v>
      </c>
      <c r="D5" s="12" t="n">
        <f aca="false">'Cost Model'!B6*'Rate Card'!B13*B5*'Cost Model'!B12+'Cost Model'!B6*'Rate Card'!B12*C5*'Cost Model'!B12</f>
        <v>2.112</v>
      </c>
      <c r="E5" s="16" t="n">
        <f aca="false">D5*'Cost Model'!B7</f>
        <v>63.36</v>
      </c>
    </row>
    <row r="6" customFormat="false" ht="15" hidden="false" customHeight="false" outlineLevel="0" collapsed="false">
      <c r="A6" s="5" t="s">
        <v>65</v>
      </c>
      <c r="B6" s="11" t="n">
        <f aca="false">'Rate Card'!B6</f>
        <v>0.3</v>
      </c>
      <c r="C6" s="12" t="n">
        <f aca="false">1-'Rate Card'!B14</f>
        <v>0.3</v>
      </c>
      <c r="D6" s="12" t="n">
        <f aca="false">'Cost Model'!B6*'Rate Card'!B13*B6*'Cost Model'!B12+'Cost Model'!B6*'Rate Card'!B12*C6*'Cost Model'!B12</f>
        <v>1.7536</v>
      </c>
      <c r="E6" s="16" t="n">
        <f aca="false">D6*'Cost Model'!B7</f>
        <v>52.608</v>
      </c>
    </row>
    <row r="7" customFormat="false" ht="15" hidden="false" customHeight="false" outlineLevel="0" collapsed="false">
      <c r="A7" s="5" t="s">
        <v>66</v>
      </c>
      <c r="B7" s="11" t="n">
        <f aca="false">'Rate Card'!B7</f>
        <v>0.35</v>
      </c>
      <c r="C7" s="12" t="s">
        <v>67</v>
      </c>
      <c r="D7" s="12" t="n">
        <f aca="false">'Cost Model'!B6*'Rate Card'!B13*B7*'Cost Model'!B12+'Cost Model'!B6*'Rate Card'!B12*C7*'Cost Model'!B12</f>
        <v>1.86666666666667</v>
      </c>
      <c r="E7" s="16" t="n">
        <f aca="false">D7*'Cost Model'!B7</f>
        <v>56</v>
      </c>
    </row>
    <row r="8" customFormat="false" ht="15" hidden="false" customHeight="false" outlineLevel="0" collapsed="false">
      <c r="A8" s="5" t="s">
        <v>68</v>
      </c>
      <c r="B8" s="11" t="n">
        <f aca="false">'Rate Card'!B5</f>
        <v>0.55</v>
      </c>
      <c r="C8" s="12" t="s">
        <v>64</v>
      </c>
      <c r="D8" s="12" t="n">
        <f aca="false">'Cost Model'!B6*'Rate Card'!B13*B8*'Cost Model'!B12+'Cost Model'!B6*'Rate Card'!B12*C8*'Cost Model'!B12</f>
        <v>3.44533333333333</v>
      </c>
      <c r="E8" s="16" t="n">
        <f aca="false">D8*'Cost Model'!B7</f>
        <v>103.36</v>
      </c>
    </row>
    <row r="10" customFormat="false" ht="15" hidden="false" customHeight="false" outlineLevel="0" collapsed="false">
      <c r="A10" s="13" t="s">
        <v>69</v>
      </c>
      <c r="E10" s="21" t="n">
        <f aca="false">MIN(E5:E9)</f>
        <v>52.608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24" hidden="false" customHeight="true" outlineLevel="0" collapsed="false">
      <c r="A1" s="1" t="s">
        <v>70</v>
      </c>
      <c r="B1" s="2"/>
      <c r="C1" s="2"/>
      <c r="D1" s="2"/>
    </row>
    <row r="2" customFormat="false" ht="15" hidden="false" customHeight="false" outlineLevel="0" collapsed="false">
      <c r="A2" s="9" t="s">
        <v>71</v>
      </c>
      <c r="B2" s="9"/>
      <c r="C2" s="9"/>
      <c r="D2" s="9"/>
    </row>
    <row r="4" customFormat="false" ht="15" hidden="false" customHeight="false" outlineLevel="0" collapsed="false">
      <c r="A4" s="5" t="s">
        <v>72</v>
      </c>
      <c r="B4" s="6" t="n">
        <v>4</v>
      </c>
      <c r="C4" s="7" t="s">
        <v>73</v>
      </c>
    </row>
    <row r="5" customFormat="false" ht="15" hidden="false" customHeight="false" outlineLevel="0" collapsed="false">
      <c r="A5" s="5" t="s">
        <v>74</v>
      </c>
      <c r="B5" s="10" t="n">
        <v>60</v>
      </c>
      <c r="C5" s="7" t="s">
        <v>75</v>
      </c>
    </row>
    <row r="6" customFormat="false" ht="15" hidden="false" customHeight="false" outlineLevel="0" collapsed="false">
      <c r="A6" s="5" t="s">
        <v>36</v>
      </c>
      <c r="B6" s="11" t="n">
        <f aca="false">'Rate Card'!B6</f>
        <v>0.3</v>
      </c>
    </row>
    <row r="7" customFormat="false" ht="15" hidden="false" customHeight="false" outlineLevel="0" collapsed="false">
      <c r="A7" s="5" t="s">
        <v>76</v>
      </c>
      <c r="B7" s="6" t="n">
        <v>1</v>
      </c>
    </row>
    <row r="9" customFormat="false" ht="15" hidden="false" customHeight="false" outlineLevel="0" collapsed="false">
      <c r="A9" s="20" t="s">
        <v>33</v>
      </c>
      <c r="B9" s="20" t="s">
        <v>77</v>
      </c>
      <c r="C9" s="20" t="s">
        <v>44</v>
      </c>
      <c r="D9" s="20" t="s">
        <v>78</v>
      </c>
    </row>
    <row r="10" customFormat="false" ht="15" hidden="false" customHeight="false" outlineLevel="0" collapsed="false">
      <c r="A10" s="10" t="n">
        <v>2</v>
      </c>
      <c r="B10" s="12" t="n">
        <f aca="false">$B$4/A10*60</f>
        <v>120</v>
      </c>
      <c r="C10" s="12" t="n">
        <f aca="false">A10*'Rate Card'!B13*$B$6*($B$4/A10)+A10*'Rate Card'!B12*$B$7*($B$4/A10)</f>
        <v>1.584</v>
      </c>
      <c r="D10" s="22" t="str">
        <f aca="false">IF(B10&lt;=$B$5,"YES","no")</f>
        <v>no</v>
      </c>
    </row>
    <row r="11" customFormat="false" ht="15" hidden="false" customHeight="false" outlineLevel="0" collapsed="false">
      <c r="A11" s="10" t="n">
        <v>4</v>
      </c>
      <c r="B11" s="12" t="n">
        <f aca="false">$B$4/A11*60</f>
        <v>60</v>
      </c>
      <c r="C11" s="12" t="n">
        <f aca="false">A11*'Rate Card'!B13*$B$6*($B$4/A11)+A11*'Rate Card'!B12*$B$7*($B$4/A11)</f>
        <v>1.584</v>
      </c>
      <c r="D11" s="22" t="str">
        <f aca="false">IF(B11&lt;=$B$5,"YES","no")</f>
        <v>YES</v>
      </c>
    </row>
    <row r="12" customFormat="false" ht="15" hidden="false" customHeight="false" outlineLevel="0" collapsed="false">
      <c r="A12" s="10" t="n">
        <v>8</v>
      </c>
      <c r="B12" s="12" t="n">
        <f aca="false">$B$4/A12*60</f>
        <v>30</v>
      </c>
      <c r="C12" s="12" t="n">
        <f aca="false">A12*'Rate Card'!B13*$B$6*($B$4/A12)+A12*'Rate Card'!B12*$B$7*($B$4/A12)</f>
        <v>1.584</v>
      </c>
      <c r="D12" s="22" t="str">
        <f aca="false">IF(B12&lt;=$B$5,"YES","no")</f>
        <v>YES</v>
      </c>
    </row>
    <row r="13" customFormat="false" ht="15" hidden="false" customHeight="false" outlineLevel="0" collapsed="false">
      <c r="A13" s="10" t="n">
        <v>16</v>
      </c>
      <c r="B13" s="12" t="n">
        <f aca="false">$B$4/A13*60</f>
        <v>15</v>
      </c>
      <c r="C13" s="12" t="n">
        <f aca="false">A13*'Rate Card'!B13*$B$6*($B$4/A13)+A13*'Rate Card'!B12*$B$7*($B$4/A13)</f>
        <v>1.584</v>
      </c>
      <c r="D13" s="22" t="str">
        <f aca="false">IF(B13&lt;=$B$5,"YES","no")</f>
        <v>YES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40"/>
  </cols>
  <sheetData>
    <row r="1" customFormat="false" ht="24" hidden="false" customHeight="true" outlineLevel="0" collapsed="false">
      <c r="A1" s="1" t="s">
        <v>79</v>
      </c>
      <c r="B1" s="2"/>
      <c r="C1" s="2"/>
    </row>
    <row r="2" customFormat="false" ht="15" hidden="false" customHeight="false" outlineLevel="0" collapsed="false">
      <c r="A2" s="9" t="s">
        <v>80</v>
      </c>
      <c r="B2" s="9"/>
      <c r="C2" s="9"/>
    </row>
    <row r="3" customFormat="false" ht="15" hidden="false" customHeight="false" outlineLevel="0" collapsed="false">
      <c r="A3" s="20" t="s">
        <v>81</v>
      </c>
      <c r="B3" s="20" t="s">
        <v>82</v>
      </c>
      <c r="C3" s="20" t="s">
        <v>83</v>
      </c>
    </row>
    <row r="4" customFormat="false" ht="27.75" hidden="false" customHeight="true" outlineLevel="0" collapsed="false">
      <c r="A4" s="22" t="s">
        <v>84</v>
      </c>
      <c r="B4" s="23" t="s">
        <v>85</v>
      </c>
      <c r="C4" s="24"/>
    </row>
    <row r="5" customFormat="false" ht="27.75" hidden="false" customHeight="true" outlineLevel="0" collapsed="false">
      <c r="A5" s="22" t="s">
        <v>84</v>
      </c>
      <c r="B5" s="23" t="s">
        <v>86</v>
      </c>
      <c r="C5" s="24"/>
    </row>
    <row r="6" customFormat="false" ht="27.75" hidden="false" customHeight="true" outlineLevel="0" collapsed="false">
      <c r="A6" s="22" t="s">
        <v>84</v>
      </c>
      <c r="B6" s="23" t="s">
        <v>87</v>
      </c>
      <c r="C6" s="24"/>
    </row>
    <row r="7" customFormat="false" ht="27.75" hidden="false" customHeight="true" outlineLevel="0" collapsed="false">
      <c r="A7" s="22" t="s">
        <v>84</v>
      </c>
      <c r="B7" s="23" t="s">
        <v>88</v>
      </c>
      <c r="C7" s="24"/>
    </row>
    <row r="8" customFormat="false" ht="27.75" hidden="false" customHeight="true" outlineLevel="0" collapsed="false">
      <c r="A8" s="22" t="s">
        <v>84</v>
      </c>
      <c r="B8" s="23" t="s">
        <v>89</v>
      </c>
      <c r="C8" s="24"/>
    </row>
    <row r="9" customFormat="false" ht="27.75" hidden="false" customHeight="true" outlineLevel="0" collapsed="false">
      <c r="A9" s="22" t="s">
        <v>84</v>
      </c>
      <c r="B9" s="23" t="s">
        <v>90</v>
      </c>
      <c r="C9" s="24"/>
    </row>
    <row r="10" customFormat="false" ht="27.75" hidden="false" customHeight="true" outlineLevel="0" collapsed="false">
      <c r="A10" s="22" t="s">
        <v>84</v>
      </c>
      <c r="B10" s="23" t="s">
        <v>91</v>
      </c>
      <c r="C10" s="24"/>
    </row>
    <row r="11" customFormat="false" ht="27.75" hidden="false" customHeight="true" outlineLevel="0" collapsed="false">
      <c r="A11" s="22" t="s">
        <v>84</v>
      </c>
      <c r="B11" s="23" t="s">
        <v>92</v>
      </c>
      <c r="C11" s="24"/>
    </row>
    <row r="12" customFormat="false" ht="27.75" hidden="false" customHeight="true" outlineLevel="0" collapsed="false">
      <c r="A12" s="22" t="s">
        <v>84</v>
      </c>
      <c r="B12" s="23" t="s">
        <v>93</v>
      </c>
      <c r="C12" s="24"/>
    </row>
    <row r="13" customFormat="false" ht="27.75" hidden="false" customHeight="true" outlineLevel="0" collapsed="false">
      <c r="A13" s="22" t="s">
        <v>84</v>
      </c>
      <c r="B13" s="23" t="s">
        <v>94</v>
      </c>
      <c r="C13" s="24"/>
    </row>
    <row r="14" customFormat="false" ht="27.75" hidden="false" customHeight="true" outlineLevel="0" collapsed="false">
      <c r="A14" s="22" t="s">
        <v>84</v>
      </c>
      <c r="B14" s="23" t="s">
        <v>95</v>
      </c>
      <c r="C14" s="24"/>
    </row>
    <row r="15" customFormat="false" ht="27.75" hidden="false" customHeight="true" outlineLevel="0" collapsed="false">
      <c r="A15" s="22" t="s">
        <v>84</v>
      </c>
      <c r="B15" s="23" t="s">
        <v>96</v>
      </c>
      <c r="C15" s="24"/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24" hidden="false" customHeight="true" outlineLevel="0" collapsed="false">
      <c r="A1" s="1" t="s">
        <v>97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 t="s">
        <v>98</v>
      </c>
      <c r="B2" s="3"/>
      <c r="C2" s="3"/>
      <c r="D2" s="3"/>
      <c r="E2" s="3"/>
      <c r="F2" s="3"/>
    </row>
    <row r="4" customFormat="false" ht="26.85" hidden="false" customHeight="false" outlineLevel="0" collapsed="false">
      <c r="A4" s="25" t="s">
        <v>99</v>
      </c>
      <c r="B4" s="25" t="s">
        <v>100</v>
      </c>
      <c r="C4" s="25" t="s">
        <v>101</v>
      </c>
      <c r="D4" s="25" t="s">
        <v>102</v>
      </c>
      <c r="E4" s="25" t="s">
        <v>103</v>
      </c>
      <c r="F4" s="25" t="s">
        <v>104</v>
      </c>
    </row>
    <row r="5" customFormat="false" ht="27.75" hidden="false" customHeight="true" outlineLevel="0" collapsed="false">
      <c r="A5" s="5" t="s">
        <v>105</v>
      </c>
      <c r="B5" s="5" t="s">
        <v>106</v>
      </c>
      <c r="C5" s="6" t="n">
        <v>0.192</v>
      </c>
      <c r="D5" s="12" t="n">
        <f aca="false">C5*0.1</f>
        <v>0.0192</v>
      </c>
      <c r="E5" s="12" t="n">
        <f aca="false">C5*0.6</f>
        <v>0.1152</v>
      </c>
      <c r="F5" s="26" t="s">
        <v>107</v>
      </c>
    </row>
    <row r="6" customFormat="false" ht="27.75" hidden="false" customHeight="true" outlineLevel="0" collapsed="false">
      <c r="A6" s="5" t="s">
        <v>108</v>
      </c>
      <c r="B6" s="5" t="s">
        <v>109</v>
      </c>
      <c r="C6" s="6" t="n">
        <v>0.134</v>
      </c>
      <c r="D6" s="12" t="n">
        <f aca="false">C6*0.1</f>
        <v>0.0134</v>
      </c>
      <c r="E6" s="12" t="n">
        <f aca="false">C6*0.45</f>
        <v>0.0603</v>
      </c>
      <c r="F6" s="26" t="s">
        <v>110</v>
      </c>
    </row>
    <row r="7" customFormat="false" ht="27.75" hidden="false" customHeight="true" outlineLevel="0" collapsed="false">
      <c r="A7" s="5" t="s">
        <v>111</v>
      </c>
      <c r="B7" s="5" t="s">
        <v>112</v>
      </c>
      <c r="C7" s="6" t="n">
        <v>0.192</v>
      </c>
      <c r="D7" s="12" t="n">
        <f aca="false">C7*0.1</f>
        <v>0.0192</v>
      </c>
      <c r="E7" s="12" t="n">
        <f aca="false">C7*0.6</f>
        <v>0.1152</v>
      </c>
      <c r="F7" s="26" t="s">
        <v>113</v>
      </c>
    </row>
    <row r="9" customFormat="false" ht="30" hidden="false" customHeight="true" outlineLevel="0" collapsed="false">
      <c r="A9" s="3" t="s">
        <v>114</v>
      </c>
      <c r="B9" s="3"/>
      <c r="C9" s="3"/>
      <c r="D9" s="3"/>
      <c r="E9" s="3"/>
      <c r="F9" s="3"/>
    </row>
  </sheetData>
  <mergeCells count="2">
    <mergeCell ref="A2:F2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2026-06-26T13:05:37Z</dcterms:created>
  <dc:creator>openpyxl</dc:creator>
  <dc:description/>
  <dc:language>en-US</dc:language>
  <cp:lastModifiedBy/>
  <dcterms:modified xsi:type="dcterms:W3CDTF">2026-06-26T13:05:37Z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